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y\Downloads\"/>
    </mc:Choice>
  </mc:AlternateContent>
  <xr:revisionPtr revIDLastSave="0" documentId="8_{66597360-20B7-40D4-9295-9D2792F9B571}" xr6:coauthVersionLast="47" xr6:coauthVersionMax="47" xr10:uidLastSave="{00000000-0000-0000-0000-000000000000}"/>
  <bookViews>
    <workbookView xWindow="-108" yWindow="-108" windowWidth="23256" windowHeight="12456" xr2:uid="{92BF6FCA-A47C-4B5E-B5E2-760C45578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 l="1"/>
  <c r="G6" i="1"/>
  <c r="H5" i="1"/>
  <c r="I5" i="1" l="1"/>
  <c r="H6" i="1"/>
  <c r="J5" i="1" l="1"/>
  <c r="I6" i="1"/>
  <c r="J6" i="1" l="1"/>
  <c r="K5" i="1"/>
  <c r="L5" i="1" l="1"/>
  <c r="K6" i="1"/>
  <c r="M5" i="1" l="1"/>
  <c r="L6" i="1"/>
  <c r="N5" i="1" l="1"/>
  <c r="M6" i="1"/>
  <c r="O5" i="1" l="1"/>
  <c r="N4" i="1"/>
  <c r="N6" i="1"/>
  <c r="O6" i="1" l="1"/>
  <c r="P5" i="1"/>
  <c r="Q5" i="1" l="1"/>
  <c r="P6" i="1"/>
  <c r="R5" i="1" l="1"/>
  <c r="Q6" i="1"/>
  <c r="R6" i="1" l="1"/>
  <c r="S5" i="1"/>
  <c r="S6" i="1" l="1"/>
  <c r="T5" i="1"/>
  <c r="U5" i="1" l="1"/>
  <c r="T6" i="1"/>
  <c r="U4" i="1" l="1"/>
  <c r="U6" i="1"/>
  <c r="V5" i="1"/>
  <c r="V6" i="1" l="1"/>
  <c r="W5" i="1"/>
  <c r="W6" i="1" l="1"/>
  <c r="X5" i="1"/>
  <c r="X6" i="1" l="1"/>
  <c r="Y5" i="1"/>
  <c r="Z5" i="1" l="1"/>
  <c r="Y6" i="1"/>
  <c r="Z6" i="1" l="1"/>
  <c r="AA5" i="1"/>
  <c r="AB5" i="1" l="1"/>
  <c r="AA6" i="1"/>
  <c r="AB6" i="1" l="1"/>
</calcChain>
</file>

<file path=xl/sharedStrings.xml><?xml version="1.0" encoding="utf-8"?>
<sst xmlns="http://schemas.openxmlformats.org/spreadsheetml/2006/main" count="66" uniqueCount="44">
  <si>
    <t>METERIQ — SMART METER ANALYTICS</t>
  </si>
  <si>
    <t>[MeterIQ Project Team]</t>
  </si>
  <si>
    <t>Project Start:</t>
  </si>
  <si>
    <t>[Project Lead]</t>
  </si>
  <si>
    <t>Today:</t>
  </si>
  <si>
    <t>Display Week:</t>
  </si>
  <si>
    <t>TASK</t>
  </si>
  <si>
    <t>ASSIGNED
TO</t>
  </si>
  <si>
    <t>PROGRESS</t>
  </si>
  <si>
    <t>START</t>
  </si>
  <si>
    <t>END</t>
  </si>
  <si>
    <t>Phase 1 — Requirements &amp; System Design</t>
  </si>
  <si>
    <t>Problem Statement &amp; Requirements</t>
  </si>
  <si>
    <t>Yashit + Aarushi</t>
  </si>
  <si>
    <t>Use Case Diagram</t>
  </si>
  <si>
    <t>Yashit</t>
  </si>
  <si>
    <t>DFD Level 0, 1 &amp; 2</t>
  </si>
  <si>
    <t>Aarushi</t>
  </si>
  <si>
    <t>ER Diagram</t>
  </si>
  <si>
    <t>Activity Diagram</t>
  </si>
  <si>
    <t>Phase 2 — Dataset &amp; Data Preparation</t>
  </si>
  <si>
    <t>Dataset Understanding</t>
  </si>
  <si>
    <t>Exploratory Data Analysis (EDA)</t>
  </si>
  <si>
    <t>Data Preprocessing</t>
  </si>
  <si>
    <t>Feature Engineering</t>
  </si>
  <si>
    <t>Prepared Dataset Validation</t>
  </si>
  <si>
    <t>Phase 3 — Machine Learning</t>
  </si>
  <si>
    <t>Anomaly / Risk Detection</t>
  </si>
  <si>
    <t>Short-Term Load Forecasting</t>
  </si>
  <si>
    <t>Model Evaluation</t>
  </si>
  <si>
    <t>Explainability Analysis</t>
  </si>
  <si>
    <t>ML Output Preparation</t>
  </si>
  <si>
    <t>Phase 4 — Dashboard &amp; System Integration</t>
  </si>
  <si>
    <t>React Dashboard Development</t>
  </si>
  <si>
    <t>Backend/API Development</t>
  </si>
  <si>
    <t>ML + Backend Integration</t>
  </si>
  <si>
    <t>Dashboard + ML Integration</t>
  </si>
  <si>
    <t>System Testing &amp; Bug Fixing</t>
  </si>
  <si>
    <t>Phase 5 — Documentation &amp; Submission</t>
  </si>
  <si>
    <t>Project Proposal</t>
  </si>
  <si>
    <t>Gantt Chart</t>
  </si>
  <si>
    <t>Weekly Journals</t>
  </si>
  <si>
    <t>LaTeX Project Report</t>
  </si>
  <si>
    <t>Final PPT / PDF &amp; GitHub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</si>
</sst>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,\ m/d/yyyy"/>
    <numFmt numFmtId="165" formatCode="m/d/yy;@"/>
    <numFmt numFmtId="166" formatCode="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 tint="0.34998626667073579"/>
      <name val="Calibri Light"/>
      <family val="2"/>
      <scheme val="major"/>
    </font>
    <font>
      <b/>
      <sz val="20"/>
      <color theme="4" tint="-0.249977111117893"/>
      <name val="Calibri Light"/>
      <family val="2"/>
      <scheme val="maj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theme="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7" fillId="12" borderId="3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right" vertical="center"/>
    </xf>
    <xf numFmtId="166" fontId="10" fillId="0" borderId="0" xfId="0" applyNumberFormat="1" applyFont="1" applyAlignment="1">
      <alignment vertical="center" shrinkToFit="1"/>
    </xf>
    <xf numFmtId="0" fontId="11" fillId="13" borderId="0" xfId="0" applyFont="1" applyFill="1" applyAlignment="1">
      <alignment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7" fillId="1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2" fillId="2" borderId="4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9" fontId="8" fillId="2" borderId="4" xfId="1" applyFon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indent="2"/>
    </xf>
    <xf numFmtId="0" fontId="0" fillId="3" borderId="4" xfId="0" applyFill="1" applyBorder="1" applyAlignment="1">
      <alignment horizontal="center" vertical="center"/>
    </xf>
    <xf numFmtId="9" fontId="8" fillId="3" borderId="4" xfId="1" applyFont="1" applyFill="1" applyBorder="1" applyAlignment="1">
      <alignment horizontal="center" vertical="center"/>
    </xf>
    <xf numFmtId="15" fontId="0" fillId="3" borderId="4" xfId="0" applyNumberFormat="1" applyFill="1" applyBorder="1" applyAlignment="1">
      <alignment horizontal="center" vertical="center"/>
    </xf>
    <xf numFmtId="15" fontId="8" fillId="3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indent="1"/>
    </xf>
    <xf numFmtId="0" fontId="2" fillId="4" borderId="4" xfId="0" applyFont="1" applyFill="1" applyBorder="1" applyAlignment="1">
      <alignment horizontal="center" vertical="center"/>
    </xf>
    <xf numFmtId="9" fontId="8" fillId="4" borderId="4" xfId="1" applyFont="1" applyFill="1" applyBorder="1" applyAlignment="1">
      <alignment horizontal="center" vertical="center"/>
    </xf>
    <xf numFmtId="165" fontId="0" fillId="4" borderId="4" xfId="0" applyNumberFormat="1" applyFill="1" applyBorder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 indent="2"/>
    </xf>
    <xf numFmtId="0" fontId="0" fillId="5" borderId="4" xfId="0" applyFill="1" applyBorder="1" applyAlignment="1">
      <alignment horizontal="center" vertical="center"/>
    </xf>
    <xf numFmtId="9" fontId="8" fillId="5" borderId="4" xfId="1" applyFont="1" applyFill="1" applyBorder="1" applyAlignment="1">
      <alignment horizontal="center" vertical="center"/>
    </xf>
    <xf numFmtId="15" fontId="0" fillId="5" borderId="4" xfId="0" applyNumberFormat="1" applyFill="1" applyBorder="1" applyAlignment="1">
      <alignment horizontal="center" vertical="center"/>
    </xf>
    <xf numFmtId="15" fontId="8" fillId="5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center" vertical="center"/>
    </xf>
    <xf numFmtId="9" fontId="8" fillId="6" borderId="4" xfId="1" applyFon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165" fontId="8" fillId="6" borderId="4" xfId="0" applyNumberFormat="1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 indent="2"/>
    </xf>
    <xf numFmtId="0" fontId="0" fillId="7" borderId="4" xfId="0" applyFill="1" applyBorder="1" applyAlignment="1">
      <alignment horizontal="center" vertical="center"/>
    </xf>
    <xf numFmtId="9" fontId="8" fillId="7" borderId="4" xfId="1" applyFont="1" applyFill="1" applyBorder="1" applyAlignment="1">
      <alignment horizontal="center" vertical="center"/>
    </xf>
    <xf numFmtId="15" fontId="0" fillId="7" borderId="4" xfId="0" applyNumberFormat="1" applyFill="1" applyBorder="1" applyAlignment="1">
      <alignment horizontal="center" vertical="center"/>
    </xf>
    <xf numFmtId="15" fontId="8" fillId="7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center" vertical="center"/>
    </xf>
    <xf numFmtId="9" fontId="8" fillId="8" borderId="4" xfId="1" applyFont="1" applyFill="1" applyBorder="1" applyAlignment="1">
      <alignment horizontal="center" vertical="center"/>
    </xf>
    <xf numFmtId="165" fontId="0" fillId="8" borderId="4" xfId="0" applyNumberFormat="1" applyFill="1" applyBorder="1" applyAlignment="1">
      <alignment horizontal="center" vertical="center"/>
    </xf>
    <xf numFmtId="165" fontId="8" fillId="8" borderId="4" xfId="0" applyNumberFormat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 indent="2"/>
    </xf>
    <xf numFmtId="0" fontId="0" fillId="9" borderId="4" xfId="0" applyFill="1" applyBorder="1" applyAlignment="1">
      <alignment horizontal="center" vertical="center"/>
    </xf>
    <xf numFmtId="9" fontId="8" fillId="9" borderId="4" xfId="1" applyFont="1" applyFill="1" applyBorder="1" applyAlignment="1">
      <alignment horizontal="center" vertical="center"/>
    </xf>
    <xf numFmtId="15" fontId="0" fillId="9" borderId="4" xfId="0" applyNumberFormat="1" applyFill="1" applyBorder="1" applyAlignment="1">
      <alignment horizontal="center" vertical="center"/>
    </xf>
    <xf numFmtId="15" fontId="8" fillId="9" borderId="4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left" vertical="center" indent="1"/>
    </xf>
    <xf numFmtId="0" fontId="2" fillId="10" borderId="4" xfId="0" applyFont="1" applyFill="1" applyBorder="1" applyAlignment="1">
      <alignment horizontal="center" vertical="center"/>
    </xf>
    <xf numFmtId="9" fontId="8" fillId="10" borderId="4" xfId="1" applyFont="1" applyFill="1" applyBorder="1" applyAlignment="1">
      <alignment horizontal="center" vertical="center"/>
    </xf>
    <xf numFmtId="165" fontId="0" fillId="10" borderId="4" xfId="0" applyNumberForma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/>
    </xf>
    <xf numFmtId="0" fontId="0" fillId="11" borderId="4" xfId="0" applyFill="1" applyBorder="1" applyAlignment="1">
      <alignment horizontal="left" vertical="center" indent="2"/>
    </xf>
    <xf numFmtId="0" fontId="0" fillId="11" borderId="4" xfId="0" applyFill="1" applyBorder="1" applyAlignment="1">
      <alignment horizontal="center" vertical="center"/>
    </xf>
    <xf numFmtId="9" fontId="8" fillId="11" borderId="4" xfId="1" applyFont="1" applyFill="1" applyBorder="1" applyAlignment="1">
      <alignment horizontal="center" vertical="center"/>
    </xf>
    <xf numFmtId="15" fontId="0" fillId="11" borderId="4" xfId="0" applyNumberFormat="1" applyFill="1" applyBorder="1" applyAlignment="1">
      <alignment horizontal="center" vertical="center"/>
    </xf>
    <xf numFmtId="15" fontId="8" fillId="11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7030A0"/>
      <color rgb="FF7066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C117-4DFA-4099-BAD4-E1AF67BBD89D}">
  <dimension ref="A1:AB38"/>
  <sheetViews>
    <sheetView tabSelected="1" zoomScale="90" zoomScaleNormal="90" workbookViewId="0">
      <selection activeCell="E19" sqref="E19"/>
    </sheetView>
  </sheetViews>
  <sheetFormatPr defaultRowHeight="14.4" x14ac:dyDescent="0.3"/>
  <cols>
    <col min="1" max="1" width="39.21875" style="5" customWidth="1"/>
    <col min="2" max="2" width="19.6640625" style="5" customWidth="1"/>
    <col min="3" max="3" width="14.109375" style="5" customWidth="1"/>
    <col min="4" max="4" width="15.5546875" style="5" customWidth="1"/>
    <col min="5" max="5" width="14.77734375" style="5" customWidth="1"/>
    <col min="6" max="6" width="6.33203125" style="5" customWidth="1"/>
    <col min="7" max="7" width="2.88671875" style="5" customWidth="1"/>
    <col min="8" max="27" width="3.44140625" style="5" customWidth="1"/>
    <col min="28" max="28" width="2.77734375" style="5" customWidth="1"/>
    <col min="29" max="16384" width="8.88671875" style="5"/>
  </cols>
  <sheetData>
    <row r="1" spans="1:28" ht="28.8" x14ac:dyDescent="0.3">
      <c r="A1" s="13" t="s">
        <v>0</v>
      </c>
      <c r="B1" s="14"/>
      <c r="C1" s="15"/>
      <c r="D1" s="16"/>
      <c r="E1" s="1"/>
      <c r="F1" s="1"/>
    </row>
    <row r="2" spans="1:28" ht="18" x14ac:dyDescent="0.3">
      <c r="A2" s="17" t="s">
        <v>1</v>
      </c>
      <c r="C2" s="2" t="s">
        <v>2</v>
      </c>
      <c r="D2" s="3">
        <v>46259</v>
      </c>
      <c r="E2" s="18"/>
      <c r="F2" s="1"/>
    </row>
    <row r="3" spans="1:28" ht="18" x14ac:dyDescent="0.3">
      <c r="A3" s="17" t="s">
        <v>3</v>
      </c>
      <c r="C3" s="2" t="s">
        <v>4</v>
      </c>
      <c r="D3" s="3">
        <v>46280</v>
      </c>
      <c r="E3" s="18"/>
      <c r="F3" s="1"/>
    </row>
    <row r="4" spans="1:28" x14ac:dyDescent="0.3">
      <c r="C4" s="2" t="s">
        <v>5</v>
      </c>
      <c r="D4" s="4">
        <v>4</v>
      </c>
      <c r="F4" s="1"/>
      <c r="G4" s="7">
        <f>G5</f>
        <v>46259</v>
      </c>
      <c r="H4" s="7"/>
      <c r="I4" s="7"/>
      <c r="J4" s="7"/>
      <c r="K4" s="7"/>
      <c r="L4" s="7"/>
      <c r="M4" s="7"/>
      <c r="N4" s="7">
        <f t="shared" ref="N4" si="0">N5</f>
        <v>46266</v>
      </c>
      <c r="O4" s="7"/>
      <c r="P4" s="7"/>
      <c r="Q4" s="7"/>
      <c r="R4" s="7"/>
      <c r="S4" s="7"/>
      <c r="T4" s="7"/>
      <c r="U4" s="7">
        <f t="shared" ref="U4" si="1">U5</f>
        <v>46273</v>
      </c>
      <c r="V4" s="7"/>
      <c r="W4" s="7"/>
      <c r="X4" s="7"/>
      <c r="Y4" s="7"/>
      <c r="Z4" s="7"/>
      <c r="AA4" s="7"/>
      <c r="AB4" s="8"/>
    </row>
    <row r="5" spans="1:28" x14ac:dyDescent="0.3">
      <c r="D5" s="6"/>
      <c r="F5" s="1"/>
      <c r="G5" s="11">
        <f>$D$2</f>
        <v>46259</v>
      </c>
      <c r="H5" s="11">
        <f>G5+1</f>
        <v>46260</v>
      </c>
      <c r="I5" s="11">
        <f t="shared" ref="I5:AA5" si="2">H5+1</f>
        <v>46261</v>
      </c>
      <c r="J5" s="11">
        <f t="shared" si="2"/>
        <v>46262</v>
      </c>
      <c r="K5" s="11">
        <f t="shared" si="2"/>
        <v>46263</v>
      </c>
      <c r="L5" s="11">
        <f t="shared" si="2"/>
        <v>46264</v>
      </c>
      <c r="M5" s="11">
        <f t="shared" si="2"/>
        <v>46265</v>
      </c>
      <c r="N5" s="11">
        <f t="shared" si="2"/>
        <v>46266</v>
      </c>
      <c r="O5" s="11">
        <f t="shared" si="2"/>
        <v>46267</v>
      </c>
      <c r="P5" s="11">
        <f t="shared" si="2"/>
        <v>46268</v>
      </c>
      <c r="Q5" s="11">
        <f t="shared" si="2"/>
        <v>46269</v>
      </c>
      <c r="R5" s="11">
        <f t="shared" si="2"/>
        <v>46270</v>
      </c>
      <c r="S5" s="11">
        <f t="shared" si="2"/>
        <v>46271</v>
      </c>
      <c r="T5" s="11">
        <f t="shared" si="2"/>
        <v>46272</v>
      </c>
      <c r="U5" s="11">
        <f t="shared" si="2"/>
        <v>46273</v>
      </c>
      <c r="V5" s="11">
        <f t="shared" si="2"/>
        <v>46274</v>
      </c>
      <c r="W5" s="11">
        <f t="shared" si="2"/>
        <v>46275</v>
      </c>
      <c r="X5" s="11">
        <f t="shared" si="2"/>
        <v>46276</v>
      </c>
      <c r="Y5" s="11">
        <f t="shared" si="2"/>
        <v>46277</v>
      </c>
      <c r="Z5" s="11">
        <f t="shared" si="2"/>
        <v>46278</v>
      </c>
      <c r="AA5" s="11">
        <f t="shared" si="2"/>
        <v>46279</v>
      </c>
      <c r="AB5" s="11">
        <f t="shared" ref="AB5" si="3">AA5+1</f>
        <v>46280</v>
      </c>
    </row>
    <row r="6" spans="1:28" ht="24" x14ac:dyDescent="0.3">
      <c r="A6" s="1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10"/>
      <c r="G6" s="12" t="str">
        <f>LEFT(TEXT(G5,"ddd"),1)</f>
        <v>T</v>
      </c>
      <c r="H6" s="12" t="str">
        <f t="shared" ref="H6:N6" si="4">LEFT(TEXT(H5,"ddd"),1)</f>
        <v>W</v>
      </c>
      <c r="I6" s="12" t="str">
        <f t="shared" si="4"/>
        <v>T</v>
      </c>
      <c r="J6" s="12" t="str">
        <f t="shared" si="4"/>
        <v>F</v>
      </c>
      <c r="K6" s="12" t="str">
        <f t="shared" si="4"/>
        <v>S</v>
      </c>
      <c r="L6" s="12" t="str">
        <f t="shared" si="4"/>
        <v>S</v>
      </c>
      <c r="M6" s="12" t="str">
        <f t="shared" si="4"/>
        <v>M</v>
      </c>
      <c r="N6" s="12" t="str">
        <f t="shared" si="4"/>
        <v>T</v>
      </c>
      <c r="O6" s="12" t="str">
        <f t="shared" ref="O6" si="5">LEFT(TEXT(O5,"ddd"),1)</f>
        <v>W</v>
      </c>
      <c r="P6" s="12" t="str">
        <f t="shared" ref="P6" si="6">LEFT(TEXT(P5,"ddd"),1)</f>
        <v>T</v>
      </c>
      <c r="Q6" s="12" t="str">
        <f t="shared" ref="Q6" si="7">LEFT(TEXT(Q5,"ddd"),1)</f>
        <v>F</v>
      </c>
      <c r="R6" s="12" t="str">
        <f t="shared" ref="R6" si="8">LEFT(TEXT(R5,"ddd"),1)</f>
        <v>S</v>
      </c>
      <c r="S6" s="12" t="str">
        <f t="shared" ref="S6" si="9">LEFT(TEXT(S5,"ddd"),1)</f>
        <v>S</v>
      </c>
      <c r="T6" s="12" t="str">
        <f t="shared" ref="T6:U6" si="10">LEFT(TEXT(T5,"ddd"),1)</f>
        <v>M</v>
      </c>
      <c r="U6" s="12" t="str">
        <f t="shared" si="10"/>
        <v>T</v>
      </c>
      <c r="V6" s="12" t="str">
        <f t="shared" ref="V6" si="11">LEFT(TEXT(V5,"ddd"),1)</f>
        <v>W</v>
      </c>
      <c r="W6" s="12" t="str">
        <f t="shared" ref="W6" si="12">LEFT(TEXT(W5,"ddd"),1)</f>
        <v>T</v>
      </c>
      <c r="X6" s="12" t="str">
        <f t="shared" ref="X6" si="13">LEFT(TEXT(X5,"ddd"),1)</f>
        <v>F</v>
      </c>
      <c r="Y6" s="12" t="str">
        <f t="shared" ref="Y6" si="14">LEFT(TEXT(Y5,"ddd"),1)</f>
        <v>S</v>
      </c>
      <c r="Z6" s="12" t="str">
        <f t="shared" ref="Z6" si="15">LEFT(TEXT(Z5,"ddd"),1)</f>
        <v>S</v>
      </c>
      <c r="AA6" s="12" t="str">
        <f t="shared" ref="AA6" si="16">LEFT(TEXT(AA5,"ddd"),1)</f>
        <v>M</v>
      </c>
      <c r="AB6" s="12" t="str">
        <f t="shared" ref="AB6" si="17">LEFT(TEXT(AB5,"ddd"),1)</f>
        <v>T</v>
      </c>
    </row>
    <row r="7" spans="1:28" x14ac:dyDescent="0.3">
      <c r="A7" s="20"/>
      <c r="B7" s="21"/>
      <c r="C7" s="22"/>
      <c r="D7" s="23"/>
      <c r="E7" s="24"/>
      <c r="F7" s="25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x14ac:dyDescent="0.3">
      <c r="A8" s="27" t="s">
        <v>11</v>
      </c>
      <c r="B8" s="28"/>
      <c r="C8" s="29"/>
      <c r="D8" s="30"/>
      <c r="E8" s="31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x14ac:dyDescent="0.3">
      <c r="A9" s="32" t="s">
        <v>12</v>
      </c>
      <c r="B9" s="33" t="s">
        <v>13</v>
      </c>
      <c r="C9" s="34">
        <v>1</v>
      </c>
      <c r="D9" s="35">
        <v>46259</v>
      </c>
      <c r="E9" s="36">
        <v>46260</v>
      </c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x14ac:dyDescent="0.3">
      <c r="A10" s="32" t="s">
        <v>14</v>
      </c>
      <c r="B10" s="33" t="s">
        <v>15</v>
      </c>
      <c r="C10" s="34">
        <v>1</v>
      </c>
      <c r="D10" s="35">
        <v>46259</v>
      </c>
      <c r="E10" s="36">
        <v>46259</v>
      </c>
      <c r="F10" s="25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x14ac:dyDescent="0.3">
      <c r="A11" s="32" t="s">
        <v>16</v>
      </c>
      <c r="B11" s="33" t="s">
        <v>17</v>
      </c>
      <c r="C11" s="34">
        <v>1</v>
      </c>
      <c r="D11" s="35">
        <v>46259</v>
      </c>
      <c r="E11" s="36">
        <v>46263</v>
      </c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x14ac:dyDescent="0.3">
      <c r="A12" s="32" t="s">
        <v>18</v>
      </c>
      <c r="B12" s="33" t="s">
        <v>17</v>
      </c>
      <c r="C12" s="34">
        <v>1</v>
      </c>
      <c r="D12" s="35">
        <v>46273</v>
      </c>
      <c r="E12" s="36">
        <v>46276</v>
      </c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x14ac:dyDescent="0.3">
      <c r="A13" s="32" t="s">
        <v>19</v>
      </c>
      <c r="B13" s="33" t="s">
        <v>13</v>
      </c>
      <c r="C13" s="34">
        <v>1</v>
      </c>
      <c r="D13" s="35">
        <v>46273</v>
      </c>
      <c r="E13" s="36">
        <v>46276</v>
      </c>
      <c r="F13" s="25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x14ac:dyDescent="0.3">
      <c r="A14" s="37" t="s">
        <v>20</v>
      </c>
      <c r="B14" s="38"/>
      <c r="C14" s="39"/>
      <c r="D14" s="40"/>
      <c r="E14" s="41"/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x14ac:dyDescent="0.3">
      <c r="A15" s="42" t="s">
        <v>21</v>
      </c>
      <c r="B15" s="43" t="s">
        <v>13</v>
      </c>
      <c r="C15" s="44">
        <v>1</v>
      </c>
      <c r="D15" s="45">
        <v>46263</v>
      </c>
      <c r="E15" s="46">
        <v>46266</v>
      </c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x14ac:dyDescent="0.3">
      <c r="A16" s="42" t="s">
        <v>22</v>
      </c>
      <c r="B16" s="43" t="s">
        <v>17</v>
      </c>
      <c r="C16" s="44">
        <v>1</v>
      </c>
      <c r="D16" s="45">
        <v>46263</v>
      </c>
      <c r="E16" s="46">
        <v>46270</v>
      </c>
      <c r="F16" s="25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x14ac:dyDescent="0.3">
      <c r="A17" s="42" t="s">
        <v>23</v>
      </c>
      <c r="B17" s="43" t="s">
        <v>17</v>
      </c>
      <c r="C17" s="44">
        <v>1</v>
      </c>
      <c r="D17" s="45">
        <v>46266</v>
      </c>
      <c r="E17" s="46">
        <v>46273</v>
      </c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x14ac:dyDescent="0.3">
      <c r="A18" s="42" t="s">
        <v>24</v>
      </c>
      <c r="B18" s="43" t="s">
        <v>17</v>
      </c>
      <c r="C18" s="44">
        <v>1</v>
      </c>
      <c r="D18" s="45">
        <v>46266</v>
      </c>
      <c r="E18" s="46">
        <v>46273</v>
      </c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x14ac:dyDescent="0.3">
      <c r="A19" s="42" t="s">
        <v>25</v>
      </c>
      <c r="B19" s="43" t="s">
        <v>13</v>
      </c>
      <c r="C19" s="44">
        <v>0</v>
      </c>
      <c r="D19" s="45">
        <v>46285</v>
      </c>
      <c r="E19" s="46">
        <v>46286</v>
      </c>
      <c r="F19" s="25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x14ac:dyDescent="0.3">
      <c r="A20" s="47" t="s">
        <v>26</v>
      </c>
      <c r="B20" s="48"/>
      <c r="C20" s="49"/>
      <c r="D20" s="50"/>
      <c r="E20" s="51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x14ac:dyDescent="0.3">
      <c r="A21" s="52" t="s">
        <v>27</v>
      </c>
      <c r="B21" s="53" t="s">
        <v>13</v>
      </c>
      <c r="C21" s="54">
        <v>0</v>
      </c>
      <c r="D21" s="55">
        <v>46287</v>
      </c>
      <c r="E21" s="56">
        <v>46293</v>
      </c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x14ac:dyDescent="0.3">
      <c r="A22" s="52" t="s">
        <v>28</v>
      </c>
      <c r="B22" s="53" t="s">
        <v>13</v>
      </c>
      <c r="C22" s="54">
        <v>0</v>
      </c>
      <c r="D22" s="55">
        <v>46287</v>
      </c>
      <c r="E22" s="56">
        <v>46293</v>
      </c>
      <c r="F22" s="25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x14ac:dyDescent="0.3">
      <c r="A23" s="52" t="s">
        <v>29</v>
      </c>
      <c r="B23" s="53" t="s">
        <v>13</v>
      </c>
      <c r="C23" s="54">
        <v>0</v>
      </c>
      <c r="D23" s="55">
        <v>46294</v>
      </c>
      <c r="E23" s="56">
        <v>46297</v>
      </c>
      <c r="F23" s="2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x14ac:dyDescent="0.3">
      <c r="A24" s="52" t="s">
        <v>30</v>
      </c>
      <c r="B24" s="53" t="s">
        <v>13</v>
      </c>
      <c r="C24" s="54">
        <v>0</v>
      </c>
      <c r="D24" s="55">
        <v>46298</v>
      </c>
      <c r="E24" s="56">
        <v>46300</v>
      </c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x14ac:dyDescent="0.3">
      <c r="A25" s="52" t="s">
        <v>31</v>
      </c>
      <c r="B25" s="53" t="s">
        <v>13</v>
      </c>
      <c r="C25" s="54">
        <v>0</v>
      </c>
      <c r="D25" s="55">
        <v>46301</v>
      </c>
      <c r="E25" s="56">
        <v>46302</v>
      </c>
      <c r="F25" s="25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x14ac:dyDescent="0.3">
      <c r="A26" s="57" t="s">
        <v>32</v>
      </c>
      <c r="B26" s="58"/>
      <c r="C26" s="59"/>
      <c r="D26" s="60"/>
      <c r="E26" s="61"/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x14ac:dyDescent="0.3">
      <c r="A27" s="62" t="s">
        <v>33</v>
      </c>
      <c r="B27" s="63" t="s">
        <v>15</v>
      </c>
      <c r="C27" s="64">
        <v>1</v>
      </c>
      <c r="D27" s="65">
        <v>46270</v>
      </c>
      <c r="E27" s="66">
        <v>46276</v>
      </c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x14ac:dyDescent="0.3">
      <c r="A28" s="62" t="s">
        <v>34</v>
      </c>
      <c r="B28" s="63" t="s">
        <v>13</v>
      </c>
      <c r="C28" s="64">
        <v>0</v>
      </c>
      <c r="D28" s="65">
        <v>46303</v>
      </c>
      <c r="E28" s="66">
        <v>46309</v>
      </c>
      <c r="F28" s="25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x14ac:dyDescent="0.3">
      <c r="A29" s="62" t="s">
        <v>35</v>
      </c>
      <c r="B29" s="63" t="s">
        <v>13</v>
      </c>
      <c r="C29" s="64">
        <v>0</v>
      </c>
      <c r="D29" s="65">
        <v>46310</v>
      </c>
      <c r="E29" s="66">
        <v>46314</v>
      </c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x14ac:dyDescent="0.3">
      <c r="A30" s="62" t="s">
        <v>36</v>
      </c>
      <c r="B30" s="63" t="s">
        <v>15</v>
      </c>
      <c r="C30" s="64">
        <v>0</v>
      </c>
      <c r="D30" s="65">
        <v>46315</v>
      </c>
      <c r="E30" s="66">
        <v>46318</v>
      </c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x14ac:dyDescent="0.3">
      <c r="A31" s="62" t="s">
        <v>37</v>
      </c>
      <c r="B31" s="63" t="s">
        <v>13</v>
      </c>
      <c r="C31" s="64">
        <v>0</v>
      </c>
      <c r="D31" s="65">
        <v>46319</v>
      </c>
      <c r="E31" s="66">
        <v>46323</v>
      </c>
      <c r="F31" s="25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x14ac:dyDescent="0.3">
      <c r="A32" s="67" t="s">
        <v>38</v>
      </c>
      <c r="B32" s="68"/>
      <c r="C32" s="69"/>
      <c r="D32" s="70"/>
      <c r="E32" s="71"/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x14ac:dyDescent="0.3">
      <c r="A33" s="72" t="s">
        <v>39</v>
      </c>
      <c r="B33" s="73" t="s">
        <v>13</v>
      </c>
      <c r="C33" s="74">
        <v>0</v>
      </c>
      <c r="D33" s="75">
        <v>46296</v>
      </c>
      <c r="E33" s="76">
        <v>46300</v>
      </c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x14ac:dyDescent="0.3">
      <c r="A34" s="72" t="s">
        <v>40</v>
      </c>
      <c r="B34" s="73" t="s">
        <v>13</v>
      </c>
      <c r="C34" s="74">
        <v>1</v>
      </c>
      <c r="D34" s="75">
        <v>46280</v>
      </c>
      <c r="E34" s="76">
        <v>46280</v>
      </c>
      <c r="F34" s="2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x14ac:dyDescent="0.3">
      <c r="A35" s="72" t="s">
        <v>41</v>
      </c>
      <c r="B35" s="73" t="s">
        <v>13</v>
      </c>
      <c r="C35" s="74">
        <v>0.75</v>
      </c>
      <c r="D35" s="75">
        <v>46259</v>
      </c>
      <c r="E35" s="76">
        <v>46325</v>
      </c>
      <c r="F35" s="2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x14ac:dyDescent="0.3">
      <c r="A36" s="72" t="s">
        <v>42</v>
      </c>
      <c r="B36" s="73" t="s">
        <v>15</v>
      </c>
      <c r="C36" s="74">
        <v>0.25</v>
      </c>
      <c r="D36" s="75">
        <v>46273</v>
      </c>
      <c r="E36" s="76">
        <v>46280</v>
      </c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x14ac:dyDescent="0.3">
      <c r="A37" s="72" t="s">
        <v>43</v>
      </c>
      <c r="B37" s="73" t="s">
        <v>13</v>
      </c>
      <c r="C37" s="74">
        <v>0</v>
      </c>
      <c r="D37" s="75">
        <v>46324</v>
      </c>
      <c r="E37" s="76">
        <v>46326</v>
      </c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x14ac:dyDescent="0.3">
      <c r="F38" s="1"/>
    </row>
  </sheetData>
  <mergeCells count="5">
    <mergeCell ref="D2:E2"/>
    <mergeCell ref="D3:E3"/>
    <mergeCell ref="G4:M4"/>
    <mergeCell ref="N4:T4"/>
    <mergeCell ref="U4:AA4"/>
  </mergeCells>
  <conditionalFormatting sqref="G7:AB37">
    <cfRule type="expression" dxfId="0" priority="1">
      <formula>AND(G$5&gt;=$D7,G$5&lt;=$E7)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D4" xr:uid="{B0B12BD0-BEFE-4D2E-A181-8CB272CF7565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SHARMA</dc:creator>
  <cp:lastModifiedBy>RAJAT SHARMA</cp:lastModifiedBy>
  <dcterms:created xsi:type="dcterms:W3CDTF">2026-09-15T18:25:21Z</dcterms:created>
  <dcterms:modified xsi:type="dcterms:W3CDTF">2026-09-15T19:01:55Z</dcterms:modified>
</cp:coreProperties>
</file>